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OneDrive\Desktop\Inventory_Project\"/>
    </mc:Choice>
  </mc:AlternateContent>
  <bookViews>
    <workbookView xWindow="0" yWindow="0" windowWidth="23040" windowHeight="9072" firstSheet="1" activeTab="6"/>
  </bookViews>
  <sheets>
    <sheet name="Pivot table 1" sheetId="6" r:id="rId1"/>
    <sheet name="Pivot table 2" sheetId="9" r:id="rId2"/>
    <sheet name="Pivot table 3" sheetId="10" r:id="rId3"/>
    <sheet name="Raw data" sheetId="15" r:id="rId4"/>
    <sheet name="Bar chart" sheetId="11" r:id="rId5"/>
    <sheet name="Pie chart" sheetId="12" r:id="rId6"/>
    <sheet name="Line chart " sheetId="13" r:id="rId7"/>
  </sheets>
  <definedNames>
    <definedName name="Slicer_Product_Name">#N/A</definedName>
  </definedNames>
  <calcPr calcId="162913"/>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6" i="15" l="1"/>
  <c r="J15" i="15"/>
  <c r="J14" i="15"/>
  <c r="J13" i="15"/>
  <c r="J12" i="15"/>
  <c r="J11" i="15"/>
  <c r="J10" i="15"/>
  <c r="J9" i="15"/>
  <c r="J8" i="15"/>
  <c r="J7" i="15"/>
  <c r="J6" i="15"/>
  <c r="J5" i="15"/>
  <c r="J4" i="15"/>
  <c r="J3" i="15"/>
  <c r="J2" i="15"/>
</calcChain>
</file>

<file path=xl/sharedStrings.xml><?xml version="1.0" encoding="utf-8"?>
<sst xmlns="http://schemas.openxmlformats.org/spreadsheetml/2006/main" count="93" uniqueCount="61">
  <si>
    <t>Product ID</t>
  </si>
  <si>
    <t>Product Name</t>
  </si>
  <si>
    <t>Opening Stock</t>
  </si>
  <si>
    <t>Stock In</t>
  </si>
  <si>
    <t>Stock Out</t>
  </si>
  <si>
    <t>Closing Stock</t>
  </si>
  <si>
    <t>Reorder Level</t>
  </si>
  <si>
    <t>Sales Date</t>
  </si>
  <si>
    <t>Supplier Name</t>
  </si>
  <si>
    <t>Rice Bag 25kg</t>
  </si>
  <si>
    <t>ABC Traders</t>
  </si>
  <si>
    <t>P102</t>
  </si>
  <si>
    <t>Sunflower Oil 1L</t>
  </si>
  <si>
    <t>Fresh Foods Ltd</t>
  </si>
  <si>
    <t>P103</t>
  </si>
  <si>
    <t>Bath Soap</t>
  </si>
  <si>
    <t>CleanCare Pvt Ltd</t>
  </si>
  <si>
    <t>P104</t>
  </si>
  <si>
    <t>Biscuit Pack</t>
  </si>
  <si>
    <t>Snack World</t>
  </si>
  <si>
    <t>P105</t>
  </si>
  <si>
    <t>Shampoo Bottle</t>
  </si>
  <si>
    <t>Beauty Products Co</t>
  </si>
  <si>
    <t>P106</t>
  </si>
  <si>
    <t>Toothpaste</t>
  </si>
  <si>
    <t>Smile Traders</t>
  </si>
  <si>
    <t>P107</t>
  </si>
  <si>
    <t>Milk Packet</t>
  </si>
  <si>
    <t>Dairy Fresh</t>
  </si>
  <si>
    <t>P108</t>
  </si>
  <si>
    <t>Wheat Flour 10kg</t>
  </si>
  <si>
    <t>Farm Foods</t>
  </si>
  <si>
    <t>P109</t>
  </si>
  <si>
    <t>Soft Drink 2L</t>
  </si>
  <si>
    <t>Cool Drinks Ltd</t>
  </si>
  <si>
    <t>P110</t>
  </si>
  <si>
    <t>Tea Powder 1kg</t>
  </si>
  <si>
    <t>Green Leaf Traders</t>
  </si>
  <si>
    <t>P111</t>
  </si>
  <si>
    <t>Coffee Powder</t>
  </si>
  <si>
    <t>Aroma Foods</t>
  </si>
  <si>
    <t>P112</t>
  </si>
  <si>
    <t>Detergent Powder</t>
  </si>
  <si>
    <t>Clean Home Pvt Ltd</t>
  </si>
  <si>
    <t>P113</t>
  </si>
  <si>
    <t>Mineral Water</t>
  </si>
  <si>
    <t>Aqua Fresh</t>
  </si>
  <si>
    <t>P114</t>
  </si>
  <si>
    <t>Cooking Salt</t>
  </si>
  <si>
    <t>Pure Salt Co</t>
  </si>
  <si>
    <t>P115</t>
  </si>
  <si>
    <t>Instant Noodles</t>
  </si>
  <si>
    <t>Fast Foods Ltd</t>
  </si>
  <si>
    <t xml:space="preserve"> Low Stock Alert</t>
  </si>
  <si>
    <t>d</t>
  </si>
  <si>
    <t>Row Labels</t>
  </si>
  <si>
    <t>Grand Total</t>
  </si>
  <si>
    <t>Sum of Closing Stock</t>
  </si>
  <si>
    <t>Sum of Stock In</t>
  </si>
  <si>
    <t>Sum of Stock Out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</si>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</sst>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1"/>
      <scheme val="minor"/>
    </font>
    <font>
      <b/>
      <sz val="11"/>
      <color theme="1"/>
      <name val="Calibri"/>
      <family val="2"/>
      <charset val="1"/>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0" fontId="1" fillId="0" borderId="0" xfId="0" applyFont="1" applyAlignment="1">
      <alignment vertical="top" wrapText="1"/>
    </xf>
    <xf numFmtId="0" fontId="2" fillId="0" borderId="0" xfId="0" applyFont="1" applyAlignment="1">
      <alignment horizontal="center" vertical="top"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3">
    <dxf>
      <numFmt numFmtId="0" formatCode="General"/>
      <alignment horizontal="center" vertical="top" textRotation="0" wrapText="1" indent="0" justifyLastLine="0" shrinkToFit="0" readingOrder="0"/>
    </dxf>
    <dxf>
      <alignment horizontal="center" vertical="top" textRotation="0" wrapText="1" indent="0" justifyLastLine="0" shrinkToFit="0" readingOrder="0"/>
    </dxf>
    <dxf>
      <numFmt numFmtId="19" formatCode="dd/mm/yyyy"/>
      <alignment horizontal="general" vertical="center"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1" indent="0" justifyLastLine="0" shrinkToFit="0" readingOrder="0"/>
    </dxf>
    <dxf>
      <alignment horizontal="general" vertical="center"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 table 1!Product-wise Stock</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lumMod val="50000"/>
                    <a:lumOff val="50000"/>
                  </a:schemeClr>
                </a:solidFill>
              </a:rPr>
              <a:t>Product-wise Closing Stock</a:t>
            </a:r>
          </a:p>
        </c:rich>
      </c:tx>
      <c:layout>
        <c:manualLayout>
          <c:xMode val="edge"/>
          <c:yMode val="edge"/>
          <c:x val="0.18168949979518456"/>
          <c:y val="0.12102509891100729"/>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lt1"/>
          </a:solidFill>
          <a:ln w="12700" cap="flat" cmpd="sng" algn="ctr">
            <a:solidFill>
              <a:schemeClr val="dk1"/>
            </a:solidFill>
            <a:prstDash val="solid"/>
            <a:miter lim="800000"/>
          </a:ln>
          <a:effectLst/>
          <a:scene3d>
            <a:camera prst="orthographicFront"/>
            <a:lightRig rig="threePt" dir="t"/>
          </a:scene3d>
          <a:sp3d contourW="12700">
            <a:contourClr>
              <a:schemeClr val="dk1"/>
            </a:contourClr>
          </a:sp3d>
        </c:spPr>
      </c:pivotFmt>
      <c:pivotFmt>
        <c:idx val="17"/>
        <c:spPr>
          <a:solidFill>
            <a:schemeClr val="lt1"/>
          </a:solidFill>
          <a:ln w="12700" cap="flat" cmpd="sng" algn="ctr">
            <a:solidFill>
              <a:schemeClr val="dk1"/>
            </a:solidFill>
            <a:prstDash val="solid"/>
            <a:miter lim="800000"/>
          </a:ln>
          <a:effectLst/>
          <a:scene3d>
            <a:camera prst="orthographicFront"/>
            <a:lightRig rig="threePt" dir="t"/>
          </a:scene3d>
          <a:sp3d contourW="12700">
            <a:contourClr>
              <a:schemeClr val="dk1"/>
            </a:contourClr>
          </a:sp3d>
        </c:spPr>
        <c:marker>
          <c:symbol val="none"/>
        </c:marker>
      </c:pivotFmt>
    </c:pivotFmts>
    <c:view3D>
      <c:rotX val="10"/>
      <c:rotY val="0"/>
      <c:depthPercent val="100"/>
      <c:rAngAx val="0"/>
      <c:perspective val="20"/>
    </c:view3D>
    <c:floor>
      <c:thickness val="0"/>
      <c:spPr>
        <a:solidFill>
          <a:schemeClr val="lt1"/>
        </a:solidFill>
        <a:ln>
          <a:noFill/>
        </a:ln>
        <a:effectLst>
          <a:outerShdw dist="50800" dir="5400000" sx="40000" sy="40000" algn="ctr" rotWithShape="0">
            <a:srgbClr val="000000">
              <a:alpha val="96000"/>
            </a:srgbClr>
          </a:outerShdw>
        </a:effectLst>
        <a:scene3d>
          <a:camera prst="orthographicFront"/>
          <a:lightRig rig="threePt" dir="t"/>
        </a:scene3d>
        <a:sp3d>
          <a:bevelT w="0"/>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1'!$B$3</c:f>
              <c:strCache>
                <c:ptCount val="1"/>
                <c:pt idx="0">
                  <c:v>Total</c:v>
                </c:pt>
              </c:strCache>
            </c:strRef>
          </c:tx>
          <c:spPr>
            <a:solidFill>
              <a:schemeClr val="lt1"/>
            </a:solidFill>
            <a:ln w="12700" cap="flat" cmpd="sng" algn="ctr">
              <a:solidFill>
                <a:schemeClr val="dk1"/>
              </a:solidFill>
              <a:prstDash val="solid"/>
              <a:miter lim="800000"/>
            </a:ln>
            <a:effectLst/>
            <a:scene3d>
              <a:camera prst="orthographicFront"/>
              <a:lightRig rig="threePt" dir="t"/>
            </a:scene3d>
            <a:sp3d contourW="12700">
              <a:contourClr>
                <a:schemeClr val="dk1"/>
              </a:contourClr>
            </a:sp3d>
          </c:spPr>
          <c:invertIfNegative val="0"/>
          <c:dLbls>
            <c:delete val="1"/>
          </c:dLbls>
          <c:cat>
            <c:strRef>
              <c:f>'Pivot table 1'!$A$4:$A$19</c:f>
              <c:strCache>
                <c:ptCount val="15"/>
                <c:pt idx="0">
                  <c:v>Bath Soap</c:v>
                </c:pt>
                <c:pt idx="1">
                  <c:v>Biscuit Pack</c:v>
                </c:pt>
                <c:pt idx="2">
                  <c:v>Coffee Powder</c:v>
                </c:pt>
                <c:pt idx="3">
                  <c:v>Cooking Salt</c:v>
                </c:pt>
                <c:pt idx="4">
                  <c:v>Detergent Powder</c:v>
                </c:pt>
                <c:pt idx="5">
                  <c:v>Instant Noodles</c:v>
                </c:pt>
                <c:pt idx="6">
                  <c:v>Milk Packet</c:v>
                </c:pt>
                <c:pt idx="7">
                  <c:v>Mineral Water</c:v>
                </c:pt>
                <c:pt idx="8">
                  <c:v>Rice Bag 25kg</c:v>
                </c:pt>
                <c:pt idx="9">
                  <c:v>Shampoo Bottle</c:v>
                </c:pt>
                <c:pt idx="10">
                  <c:v>Soft Drink 2L</c:v>
                </c:pt>
                <c:pt idx="11">
                  <c:v>Sunflower Oil 1L</c:v>
                </c:pt>
                <c:pt idx="12">
                  <c:v>Tea Powder 1kg</c:v>
                </c:pt>
                <c:pt idx="13">
                  <c:v>Toothpaste</c:v>
                </c:pt>
                <c:pt idx="14">
                  <c:v>Wheat Flour 10kg</c:v>
                </c:pt>
              </c:strCache>
            </c:strRef>
          </c:cat>
          <c:val>
            <c:numRef>
              <c:f>'Pivot table 1'!$B$4:$B$19</c:f>
              <c:numCache>
                <c:formatCode>General</c:formatCode>
                <c:ptCount val="15"/>
                <c:pt idx="0">
                  <c:v>100</c:v>
                </c:pt>
                <c:pt idx="1">
                  <c:v>150</c:v>
                </c:pt>
                <c:pt idx="2">
                  <c:v>70</c:v>
                </c:pt>
                <c:pt idx="3">
                  <c:v>110</c:v>
                </c:pt>
                <c:pt idx="4">
                  <c:v>130</c:v>
                </c:pt>
                <c:pt idx="5">
                  <c:v>140</c:v>
                </c:pt>
                <c:pt idx="6">
                  <c:v>170</c:v>
                </c:pt>
                <c:pt idx="7">
                  <c:v>220</c:v>
                </c:pt>
                <c:pt idx="8">
                  <c:v>100</c:v>
                </c:pt>
                <c:pt idx="9">
                  <c:v>70</c:v>
                </c:pt>
                <c:pt idx="10">
                  <c:v>130</c:v>
                </c:pt>
                <c:pt idx="11">
                  <c:v>160</c:v>
                </c:pt>
                <c:pt idx="12">
                  <c:v>80</c:v>
                </c:pt>
                <c:pt idx="13">
                  <c:v>110</c:v>
                </c:pt>
                <c:pt idx="14">
                  <c:v>110</c:v>
                </c:pt>
              </c:numCache>
            </c:numRef>
          </c:val>
          <c:extLst>
            <c:ext xmlns:c16="http://schemas.microsoft.com/office/drawing/2014/chart" uri="{C3380CC4-5D6E-409C-BE32-E72D297353CC}">
              <c16:uniqueId val="{00000000-CC45-4A00-9323-CC09345B3074}"/>
            </c:ext>
          </c:extLst>
        </c:ser>
        <c:dLbls>
          <c:showLegendKey val="0"/>
          <c:showVal val="1"/>
          <c:showCatName val="0"/>
          <c:showSerName val="0"/>
          <c:showPercent val="0"/>
          <c:showBubbleSize val="0"/>
        </c:dLbls>
        <c:gapWidth val="500"/>
        <c:gapDepth val="500"/>
        <c:shape val="box"/>
        <c:axId val="1707839120"/>
        <c:axId val="1707841616"/>
        <c:axId val="0"/>
      </c:bar3DChart>
      <c:catAx>
        <c:axId val="170783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841616"/>
        <c:crosses val="autoZero"/>
        <c:auto val="1"/>
        <c:lblAlgn val="r"/>
        <c:lblOffset val="100"/>
        <c:noMultiLvlLbl val="0"/>
      </c:catAx>
      <c:valAx>
        <c:axId val="1707841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839120"/>
        <c:crosses val="autoZero"/>
        <c:crossBetween val="between"/>
      </c:valAx>
      <c:spPr>
        <a:noFill/>
        <a:ln>
          <a:noFill/>
        </a:ln>
        <a:effectLst>
          <a:glow rad="101600">
            <a:schemeClr val="accent4">
              <a:satMod val="175000"/>
              <a:alpha val="40000"/>
            </a:schemeClr>
          </a:glo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 table 2!Supplier-wise Inventory</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Inventory Share by Supplier</a:t>
            </a:r>
          </a:p>
        </c:rich>
      </c:tx>
      <c:layout>
        <c:manualLayout>
          <c:xMode val="edge"/>
          <c:yMode val="edge"/>
          <c:x val="0.3725551798315111"/>
          <c:y val="3.69111755767371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5.3190838134438867E-2"/>
              <c:y val="-6.81414560022102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7.389483504230436E-2"/>
                  <c:h val="5.8409356725146196E-2"/>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8.0956052428681383E-2"/>
              <c:y val="0.105337480963027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1.9275250578257519E-2"/>
              <c:y val="-2.10526315789473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
              <c:y val="-3.50877192982456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3.5980467746080512E-2"/>
              <c:y val="3.0409356725146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5.0115651503469548E-2"/>
              <c:y val="4.9122807017543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4.626060138781795E-2"/>
              <c:y val="4.44444444444444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5.1400668208686738E-2"/>
              <c:y val="1.1695906432748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3.8550501156515038E-2"/>
              <c:y val="-1.8713450292397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1.9275250578257529E-2"/>
              <c:y val="-2.33918128654975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1.670521716782318E-2"/>
              <c:y val="-5.3801169590643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4.7116734894754022E-17"/>
              <c:y val="-5.84795321637427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1.2850167052171678E-3"/>
              <c:y val="-2.8070175438596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3C03-41C3-A43C-79C2D8241D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3C03-41C3-A43C-79C2D8241D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1-1087-4FDF-86A6-B82981DB6E5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2-1087-4FDF-86A6-B82981DB6E5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3C03-41C3-A43C-79C2D8241D8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3C03-41C3-A43C-79C2D8241D8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3C03-41C3-A43C-79C2D8241D8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3C03-41C3-A43C-79C2D8241D8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3C03-41C3-A43C-79C2D8241D8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3C03-41C3-A43C-79C2D8241D80}"/>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3C03-41C3-A43C-79C2D8241D80}"/>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7-3C03-41C3-A43C-79C2D8241D80}"/>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9-3C03-41C3-A43C-79C2D8241D80}"/>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B-3C03-41C3-A43C-79C2D8241D80}"/>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D-3C03-41C3-A43C-79C2D8241D80}"/>
              </c:ext>
            </c:extLst>
          </c:dPt>
          <c:dLbls>
            <c:dLbl>
              <c:idx val="0"/>
              <c:layout>
                <c:manualLayout>
                  <c:x val="1.9275250578257519E-2"/>
                  <c:y val="-2.1052631578947368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3C03-41C3-A43C-79C2D8241D80}"/>
                </c:ext>
              </c:extLst>
            </c:dLbl>
            <c:dLbl>
              <c:idx val="1"/>
              <c:layout>
                <c:manualLayout>
                  <c:x val="0"/>
                  <c:y val="-3.5087719298245633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3C03-41C3-A43C-79C2D8241D80}"/>
                </c:ext>
              </c:extLst>
            </c:dLbl>
            <c:dLbl>
              <c:idx val="2"/>
              <c:layout>
                <c:manualLayout>
                  <c:x val="5.3190838134438867E-2"/>
                  <c:y val="-6.814145600221024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7.389483504230436E-2"/>
                      <c:h val="5.8409356725146196E-2"/>
                    </c:manualLayout>
                  </c15:layout>
                </c:ext>
                <c:ext xmlns:c16="http://schemas.microsoft.com/office/drawing/2014/chart" uri="{C3380CC4-5D6E-409C-BE32-E72D297353CC}">
                  <c16:uniqueId val="{00000001-1087-4FDF-86A6-B82981DB6E50}"/>
                </c:ext>
              </c:extLst>
            </c:dLbl>
            <c:dLbl>
              <c:idx val="3"/>
              <c:layout>
                <c:manualLayout>
                  <c:x val="8.0956052428681383E-2"/>
                  <c:y val="0.10533748096302777"/>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1087-4FDF-86A6-B82981DB6E50}"/>
                </c:ext>
              </c:extLst>
            </c:dLbl>
            <c:dLbl>
              <c:idx val="4"/>
              <c:layout>
                <c:manualLayout>
                  <c:x val="3.5980467746080512E-2"/>
                  <c:y val="3.0409356725146112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3C03-41C3-A43C-79C2D8241D80}"/>
                </c:ext>
              </c:extLst>
            </c:dLbl>
            <c:dLbl>
              <c:idx val="5"/>
              <c:layout>
                <c:manualLayout>
                  <c:x val="5.0115651503469548E-2"/>
                  <c:y val="4.9122807017543776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3C03-41C3-A43C-79C2D8241D80}"/>
                </c:ext>
              </c:extLst>
            </c:dLbl>
            <c:dLbl>
              <c:idx val="6"/>
              <c:layout>
                <c:manualLayout>
                  <c:x val="4.626060138781795E-2"/>
                  <c:y val="4.4444444444444446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3C03-41C3-A43C-79C2D8241D80}"/>
                </c:ext>
              </c:extLst>
            </c:dLbl>
            <c:dLbl>
              <c:idx val="9"/>
              <c:layout>
                <c:manualLayout>
                  <c:x val="-5.1400668208686738E-2"/>
                  <c:y val="1.1695906432748537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3C03-41C3-A43C-79C2D8241D80}"/>
                </c:ext>
              </c:extLst>
            </c:dLbl>
            <c:dLbl>
              <c:idx val="10"/>
              <c:layout>
                <c:manualLayout>
                  <c:x val="-3.8550501156515038E-2"/>
                  <c:y val="-1.8713450292397661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5-3C03-41C3-A43C-79C2D8241D80}"/>
                </c:ext>
              </c:extLst>
            </c:dLbl>
            <c:dLbl>
              <c:idx val="11"/>
              <c:layout>
                <c:manualLayout>
                  <c:x val="-1.9275250578257529E-2"/>
                  <c:y val="-2.3391812865497506E-3"/>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7-3C03-41C3-A43C-79C2D8241D80}"/>
                </c:ext>
              </c:extLst>
            </c:dLbl>
            <c:dLbl>
              <c:idx val="12"/>
              <c:layout>
                <c:manualLayout>
                  <c:x val="-1.670521716782318E-2"/>
                  <c:y val="-5.3801169590643315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9-3C03-41C3-A43C-79C2D8241D80}"/>
                </c:ext>
              </c:extLst>
            </c:dLbl>
            <c:dLbl>
              <c:idx val="13"/>
              <c:layout>
                <c:manualLayout>
                  <c:x val="-4.7116734894754022E-17"/>
                  <c:y val="-5.8479532163742715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B-3C03-41C3-A43C-79C2D8241D80}"/>
                </c:ext>
              </c:extLst>
            </c:dLbl>
            <c:dLbl>
              <c:idx val="14"/>
              <c:layout>
                <c:manualLayout>
                  <c:x val="-1.2850167052171678E-3"/>
                  <c:y val="-2.8070175438596513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D-3C03-41C3-A43C-79C2D8241D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table 2'!$A$4:$A$19</c:f>
              <c:strCache>
                <c:ptCount val="15"/>
                <c:pt idx="0">
                  <c:v>ABC Traders</c:v>
                </c:pt>
                <c:pt idx="1">
                  <c:v>Aqua Fresh</c:v>
                </c:pt>
                <c:pt idx="2">
                  <c:v>Aroma Foods</c:v>
                </c:pt>
                <c:pt idx="3">
                  <c:v>Beauty Products Co</c:v>
                </c:pt>
                <c:pt idx="4">
                  <c:v>Clean Home Pvt Ltd</c:v>
                </c:pt>
                <c:pt idx="5">
                  <c:v>CleanCare Pvt Ltd</c:v>
                </c:pt>
                <c:pt idx="6">
                  <c:v>Cool Drinks Ltd</c:v>
                </c:pt>
                <c:pt idx="7">
                  <c:v>Dairy Fresh</c:v>
                </c:pt>
                <c:pt idx="8">
                  <c:v>Farm Foods</c:v>
                </c:pt>
                <c:pt idx="9">
                  <c:v>Fast Foods Ltd</c:v>
                </c:pt>
                <c:pt idx="10">
                  <c:v>Fresh Foods Ltd</c:v>
                </c:pt>
                <c:pt idx="11">
                  <c:v>Green Leaf Traders</c:v>
                </c:pt>
                <c:pt idx="12">
                  <c:v>Pure Salt Co</c:v>
                </c:pt>
                <c:pt idx="13">
                  <c:v>Smile Traders</c:v>
                </c:pt>
                <c:pt idx="14">
                  <c:v>Snack World</c:v>
                </c:pt>
              </c:strCache>
            </c:strRef>
          </c:cat>
          <c:val>
            <c:numRef>
              <c:f>'Pivot table 2'!$B$4:$B$19</c:f>
              <c:numCache>
                <c:formatCode>General</c:formatCode>
                <c:ptCount val="15"/>
                <c:pt idx="0">
                  <c:v>100</c:v>
                </c:pt>
                <c:pt idx="1">
                  <c:v>220</c:v>
                </c:pt>
                <c:pt idx="2">
                  <c:v>70</c:v>
                </c:pt>
                <c:pt idx="3">
                  <c:v>70</c:v>
                </c:pt>
                <c:pt idx="4">
                  <c:v>130</c:v>
                </c:pt>
                <c:pt idx="5">
                  <c:v>100</c:v>
                </c:pt>
                <c:pt idx="6">
                  <c:v>130</c:v>
                </c:pt>
                <c:pt idx="7">
                  <c:v>170</c:v>
                </c:pt>
                <c:pt idx="8">
                  <c:v>110</c:v>
                </c:pt>
                <c:pt idx="9">
                  <c:v>140</c:v>
                </c:pt>
                <c:pt idx="10">
                  <c:v>160</c:v>
                </c:pt>
                <c:pt idx="11">
                  <c:v>80</c:v>
                </c:pt>
                <c:pt idx="12">
                  <c:v>110</c:v>
                </c:pt>
                <c:pt idx="13">
                  <c:v>110</c:v>
                </c:pt>
                <c:pt idx="14">
                  <c:v>150</c:v>
                </c:pt>
              </c:numCache>
            </c:numRef>
          </c:val>
          <c:extLst>
            <c:ext xmlns:c16="http://schemas.microsoft.com/office/drawing/2014/chart" uri="{C3380CC4-5D6E-409C-BE32-E72D297353CC}">
              <c16:uniqueId val="{00000000-1087-4FDF-86A6-B82981DB6E50}"/>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 table 3!Total Stock In / Out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bg1">
                    <a:lumMod val="85000"/>
                  </a:schemeClr>
                </a:solidFill>
              </a:rPr>
              <a:t>Daily Stock Out Analysis</a:t>
            </a:r>
          </a:p>
        </c:rich>
      </c:tx>
      <c:layout>
        <c:manualLayout>
          <c:xMode val="edge"/>
          <c:yMode val="edge"/>
          <c:x val="0.31855223826188395"/>
          <c:y val="9.10505655819571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 3'!$A$3</c:f>
              <c:strCache>
                <c:ptCount val="1"/>
                <c:pt idx="0">
                  <c:v>Sum of Stock 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cat>
            <c:strRef>
              <c:f>'Pivot table 3'!$A$4</c:f>
              <c:strCache>
                <c:ptCount val="1"/>
                <c:pt idx="0">
                  <c:v>Total</c:v>
                </c:pt>
              </c:strCache>
            </c:strRef>
          </c:cat>
          <c:val>
            <c:numRef>
              <c:f>'Pivot table 3'!$A$4</c:f>
              <c:numCache>
                <c:formatCode>General</c:formatCode>
                <c:ptCount val="1"/>
                <c:pt idx="0">
                  <c:v>890</c:v>
                </c:pt>
              </c:numCache>
            </c:numRef>
          </c:val>
          <c:smooth val="0"/>
          <c:extLst>
            <c:ext xmlns:c16="http://schemas.microsoft.com/office/drawing/2014/chart" uri="{C3380CC4-5D6E-409C-BE32-E72D297353CC}">
              <c16:uniqueId val="{00000002-E5D3-4E62-992C-A3A7B823F4C6}"/>
            </c:ext>
          </c:extLst>
        </c:ser>
        <c:ser>
          <c:idx val="1"/>
          <c:order val="1"/>
          <c:tx>
            <c:strRef>
              <c:f>'Pivot table 3'!$B$3</c:f>
              <c:strCache>
                <c:ptCount val="1"/>
                <c:pt idx="0">
                  <c:v>Sum of Stock Out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cat>
            <c:strRef>
              <c:f>'Pivot table 3'!$A$4</c:f>
              <c:strCache>
                <c:ptCount val="1"/>
                <c:pt idx="0">
                  <c:v>Total</c:v>
                </c:pt>
              </c:strCache>
            </c:strRef>
          </c:cat>
          <c:val>
            <c:numRef>
              <c:f>'Pivot table 3'!$B$4</c:f>
              <c:numCache>
                <c:formatCode>General</c:formatCode>
                <c:ptCount val="1"/>
                <c:pt idx="0">
                  <c:v>1470</c:v>
                </c:pt>
              </c:numCache>
            </c:numRef>
          </c:val>
          <c:smooth val="0"/>
          <c:extLst>
            <c:ext xmlns:c16="http://schemas.microsoft.com/office/drawing/2014/chart" uri="{C3380CC4-5D6E-409C-BE32-E72D297353CC}">
              <c16:uniqueId val="{00000003-E5D3-4E62-992C-A3A7B823F4C6}"/>
            </c:ext>
          </c:extLst>
        </c:ser>
        <c:dLbls>
          <c:showLegendKey val="0"/>
          <c:showVal val="0"/>
          <c:showCatName val="0"/>
          <c:showSerName val="0"/>
          <c:showPercent val="0"/>
          <c:showBubbleSize val="0"/>
        </c:dLbls>
        <c:dropLines>
          <c:spPr>
            <a:ln w="9525">
              <a:solidFill>
                <a:schemeClr val="lt1">
                  <a:lumMod val="95000"/>
                  <a:alpha val="54000"/>
                </a:schemeClr>
              </a:solidFill>
              <a:prstDash val="dash"/>
            </a:ln>
            <a:effectLst/>
          </c:spPr>
        </c:dropLines>
        <c:axId val="714560383"/>
        <c:axId val="714552479"/>
        <c:axId val="751770127"/>
      </c:line3DChart>
      <c:catAx>
        <c:axId val="714560383"/>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552479"/>
        <c:crosses val="autoZero"/>
        <c:auto val="1"/>
        <c:lblAlgn val="ctr"/>
        <c:lblOffset val="100"/>
        <c:noMultiLvlLbl val="0"/>
      </c:catAx>
      <c:valAx>
        <c:axId val="71455247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560383"/>
        <c:crosses val="autoZero"/>
        <c:crossBetween val="between"/>
      </c:valAx>
      <c:serAx>
        <c:axId val="751770127"/>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552479"/>
        <c:crosses val="autoZero"/>
      </c:ser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30480</xdr:colOff>
      <xdr:row>1</xdr:row>
      <xdr:rowOff>19050</xdr:rowOff>
    </xdr:from>
    <xdr:to>
      <xdr:col>8</xdr:col>
      <xdr:colOff>426720</xdr:colOff>
      <xdr:row>22</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175260</xdr:rowOff>
    </xdr:from>
    <xdr:to>
      <xdr:col>11</xdr:col>
      <xdr:colOff>580800</xdr:colOff>
      <xdr:row>16</xdr:row>
      <xdr:rowOff>81915</xdr:rowOff>
    </xdr:to>
    <mc:AlternateContent xmlns:mc="http://schemas.openxmlformats.org/markup-compatibility/2006" xmlns:a14="http://schemas.microsoft.com/office/drawing/2010/main">
      <mc:Choice Requires="a14">
        <xdr:graphicFrame macro="">
          <xdr:nvGraphicFramePr>
            <xdr:cNvPr id="5" name="Product Name"/>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5486400" y="541020"/>
              <a:ext cx="18000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167640</xdr:colOff>
      <xdr:row>4</xdr:row>
      <xdr:rowOff>140970</xdr:rowOff>
    </xdr:from>
    <xdr:to>
      <xdr:col>18</xdr:col>
      <xdr:colOff>297180</xdr:colOff>
      <xdr:row>34</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160020</xdr:colOff>
      <xdr:row>5</xdr:row>
      <xdr:rowOff>19050</xdr:rowOff>
    </xdr:from>
    <xdr:to>
      <xdr:col>15</xdr:col>
      <xdr:colOff>38100</xdr:colOff>
      <xdr:row>26</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67.879667013891" createdVersion="6" refreshedVersion="6" minRefreshableVersion="3" recordCount="15">
  <cacheSource type="worksheet">
    <worksheetSource name="Table1"/>
  </cacheSource>
  <cacheFields count="10">
    <cacheField name="Product ID" numFmtId="0">
      <sharedItems/>
    </cacheField>
    <cacheField name="Product Name" numFmtId="0">
      <sharedItems count="15">
        <s v="Rice Bag 25kg"/>
        <s v="Sunflower Oil 1L"/>
        <s v="Bath Soap"/>
        <s v="Biscuit Pack"/>
        <s v="Shampoo Bottle"/>
        <s v="Toothpaste"/>
        <s v="Milk Packet"/>
        <s v="Wheat Flour 10kg"/>
        <s v="Soft Drink 2L"/>
        <s v="Tea Powder 1kg"/>
        <s v="Coffee Powder"/>
        <s v="Detergent Powder"/>
        <s v="Mineral Water"/>
        <s v="Cooking Salt"/>
        <s v="Instant Noodles"/>
      </sharedItems>
    </cacheField>
    <cacheField name="Opening Stock" numFmtId="0">
      <sharedItems containsSemiMixedTypes="0" containsString="0" containsNumber="1" containsInteger="1" minValue="90" maxValue="300"/>
    </cacheField>
    <cacheField name="Stock In" numFmtId="0">
      <sharedItems containsSemiMixedTypes="0" containsString="0" containsNumber="1" containsInteger="1" minValue="30" maxValue="120" count="8">
        <n v="50"/>
        <n v="80"/>
        <n v="40"/>
        <n v="70"/>
        <n v="30"/>
        <n v="100"/>
        <n v="60"/>
        <n v="120"/>
      </sharedItems>
    </cacheField>
    <cacheField name="Stock Out" numFmtId="0">
      <sharedItems containsSemiMixedTypes="0" containsString="0" containsNumber="1" containsInteger="1" minValue="50" maxValue="200" count="10">
        <n v="70"/>
        <n v="120"/>
        <n v="90"/>
        <n v="100"/>
        <n v="60"/>
        <n v="80"/>
        <n v="180"/>
        <n v="50"/>
        <n v="200"/>
        <n v="130"/>
      </sharedItems>
    </cacheField>
    <cacheField name="Closing Stock" numFmtId="0">
      <sharedItems containsSemiMixedTypes="0" containsString="0" containsNumber="1" containsInteger="1" minValue="70" maxValue="220"/>
    </cacheField>
    <cacheField name="Reorder Level" numFmtId="0">
      <sharedItems containsSemiMixedTypes="0" containsString="0" containsNumber="1" containsInteger="1" minValue="20" maxValue="100"/>
    </cacheField>
    <cacheField name="Sales Date" numFmtId="14">
      <sharedItems containsSemiMixedTypes="0" containsNonDate="0" containsDate="1" containsString="0" minDate="2026-05-01T00:00:00" maxDate="2026-05-16T00:00:00"/>
    </cacheField>
    <cacheField name="Supplier Name" numFmtId="0">
      <sharedItems count="15">
        <s v="ABC Traders"/>
        <s v="Fresh Foods Ltd"/>
        <s v="CleanCare Pvt Ltd"/>
        <s v="Snack World"/>
        <s v="Beauty Products Co"/>
        <s v="Smile Traders"/>
        <s v="Dairy Fresh"/>
        <s v="Farm Foods"/>
        <s v="Cool Drinks Ltd"/>
        <s v="Green Leaf Traders"/>
        <s v="Aroma Foods"/>
        <s v="Clean Home Pvt Ltd"/>
        <s v="Aqua Fresh"/>
        <s v="Pure Salt Co"/>
        <s v="Fast Foods Ltd"/>
      </sharedItems>
    </cacheField>
    <cacheField name=" Low Stock Alert"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
  <r>
    <s v="d"/>
    <x v="0"/>
    <n v="120"/>
    <x v="0"/>
    <x v="0"/>
    <n v="100"/>
    <n v="40"/>
    <d v="2026-05-01T00:00:00"/>
    <x v="0"/>
    <s v="AVAILABLE"/>
  </r>
  <r>
    <s v="P102"/>
    <x v="1"/>
    <n v="200"/>
    <x v="1"/>
    <x v="1"/>
    <n v="160"/>
    <n v="60"/>
    <d v="2026-05-02T00:00:00"/>
    <x v="1"/>
    <s v="AVAILABLE"/>
  </r>
  <r>
    <s v="P103"/>
    <x v="2"/>
    <n v="150"/>
    <x v="2"/>
    <x v="2"/>
    <n v="100"/>
    <n v="30"/>
    <d v="2026-05-03T00:00:00"/>
    <x v="2"/>
    <s v="AVAILABLE"/>
  </r>
  <r>
    <s v="P104"/>
    <x v="3"/>
    <n v="180"/>
    <x v="3"/>
    <x v="3"/>
    <n v="150"/>
    <n v="50"/>
    <d v="2026-05-04T00:00:00"/>
    <x v="3"/>
    <s v="AVAILABLE"/>
  </r>
  <r>
    <s v="P105"/>
    <x v="4"/>
    <n v="100"/>
    <x v="4"/>
    <x v="4"/>
    <n v="70"/>
    <n v="25"/>
    <d v="2026-05-05T00:00:00"/>
    <x v="4"/>
    <s v="AVAILABLE"/>
  </r>
  <r>
    <s v="P106"/>
    <x v="5"/>
    <n v="140"/>
    <x v="0"/>
    <x v="5"/>
    <n v="110"/>
    <n v="35"/>
    <d v="2026-05-06T00:00:00"/>
    <x v="5"/>
    <s v="AVAILABLE"/>
  </r>
  <r>
    <s v="P107"/>
    <x v="6"/>
    <n v="250"/>
    <x v="5"/>
    <x v="6"/>
    <n v="170"/>
    <n v="80"/>
    <d v="2026-05-07T00:00:00"/>
    <x v="6"/>
    <s v="AVAILABLE"/>
  </r>
  <r>
    <s v="P108"/>
    <x v="7"/>
    <n v="130"/>
    <x v="2"/>
    <x v="4"/>
    <n v="110"/>
    <n v="45"/>
    <d v="2026-05-08T00:00:00"/>
    <x v="7"/>
    <s v="AVAILABLE"/>
  </r>
  <r>
    <s v="P109"/>
    <x v="8"/>
    <n v="160"/>
    <x v="6"/>
    <x v="2"/>
    <n v="130"/>
    <n v="50"/>
    <d v="2026-05-09T00:00:00"/>
    <x v="8"/>
    <s v="AVAILABLE"/>
  </r>
  <r>
    <s v="P110"/>
    <x v="9"/>
    <n v="90"/>
    <x v="2"/>
    <x v="7"/>
    <n v="80"/>
    <n v="20"/>
    <d v="2026-05-10T00:00:00"/>
    <x v="9"/>
    <s v="AVAILABLE"/>
  </r>
  <r>
    <s v="P111"/>
    <x v="10"/>
    <n v="110"/>
    <x v="4"/>
    <x v="0"/>
    <n v="70"/>
    <n v="25"/>
    <d v="2026-05-11T00:00:00"/>
    <x v="10"/>
    <s v="AVAILABLE"/>
  </r>
  <r>
    <s v="P112"/>
    <x v="11"/>
    <n v="170"/>
    <x v="6"/>
    <x v="3"/>
    <n v="130"/>
    <n v="45"/>
    <d v="2026-05-12T00:00:00"/>
    <x v="11"/>
    <s v="AVAILABLE"/>
  </r>
  <r>
    <s v="P113"/>
    <x v="12"/>
    <n v="300"/>
    <x v="7"/>
    <x v="8"/>
    <n v="220"/>
    <n v="100"/>
    <d v="2026-05-13T00:00:00"/>
    <x v="12"/>
    <s v="AVAILABLE"/>
  </r>
  <r>
    <s v="P114"/>
    <x v="13"/>
    <n v="140"/>
    <x v="2"/>
    <x v="0"/>
    <n v="110"/>
    <n v="35"/>
    <d v="2026-05-14T00:00:00"/>
    <x v="13"/>
    <s v="AVAILABLE"/>
  </r>
  <r>
    <s v="P115"/>
    <x v="14"/>
    <n v="190"/>
    <x v="1"/>
    <x v="9"/>
    <n v="140"/>
    <n v="50"/>
    <d v="2026-05-15T00:00:00"/>
    <x v="14"/>
    <s v="AVAIL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duct-wise Stock"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9" firstHeaderRow="1" firstDataRow="1" firstDataCol="1"/>
  <pivotFields count="10">
    <pivotField showAll="0"/>
    <pivotField axis="axisRow" showAll="0">
      <items count="16">
        <item x="2"/>
        <item x="3"/>
        <item x="10"/>
        <item x="13"/>
        <item x="11"/>
        <item x="14"/>
        <item x="6"/>
        <item x="12"/>
        <item x="0"/>
        <item x="4"/>
        <item x="8"/>
        <item x="1"/>
        <item x="9"/>
        <item x="5"/>
        <item x="7"/>
        <item t="default"/>
      </items>
    </pivotField>
    <pivotField showAll="0"/>
    <pivotField showAll="0"/>
    <pivotField showAll="0"/>
    <pivotField dataField="1" showAll="0"/>
    <pivotField showAll="0"/>
    <pivotField numFmtId="14"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Closing Stock" fld="5" baseField="0" baseItem="0"/>
  </dataFields>
  <chartFormats count="16">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 chart="1" format="4" series="1">
      <pivotArea type="data" outline="0" fieldPosition="0">
        <references count="2">
          <reference field="4294967294" count="1" selected="0">
            <x v="0"/>
          </reference>
          <reference field="1" count="1" selected="0">
            <x v="3"/>
          </reference>
        </references>
      </pivotArea>
    </chartFormat>
    <chartFormat chart="1" format="5" series="1">
      <pivotArea type="data" outline="0" fieldPosition="0">
        <references count="2">
          <reference field="4294967294" count="1" selected="0">
            <x v="0"/>
          </reference>
          <reference field="1" count="1" selected="0">
            <x v="4"/>
          </reference>
        </references>
      </pivotArea>
    </chartFormat>
    <chartFormat chart="1" format="6" series="1">
      <pivotArea type="data" outline="0" fieldPosition="0">
        <references count="2">
          <reference field="4294967294" count="1" selected="0">
            <x v="0"/>
          </reference>
          <reference field="1" count="1" selected="0">
            <x v="5"/>
          </reference>
        </references>
      </pivotArea>
    </chartFormat>
    <chartFormat chart="1" format="7" series="1">
      <pivotArea type="data" outline="0" fieldPosition="0">
        <references count="2">
          <reference field="4294967294" count="1" selected="0">
            <x v="0"/>
          </reference>
          <reference field="1" count="1" selected="0">
            <x v="6"/>
          </reference>
        </references>
      </pivotArea>
    </chartFormat>
    <chartFormat chart="1" format="8" series="1">
      <pivotArea type="data" outline="0" fieldPosition="0">
        <references count="2">
          <reference field="4294967294" count="1" selected="0">
            <x v="0"/>
          </reference>
          <reference field="1" count="1" selected="0">
            <x v="7"/>
          </reference>
        </references>
      </pivotArea>
    </chartFormat>
    <chartFormat chart="1" format="9" series="1">
      <pivotArea type="data" outline="0" fieldPosition="0">
        <references count="2">
          <reference field="4294967294" count="1" selected="0">
            <x v="0"/>
          </reference>
          <reference field="1" count="1" selected="0">
            <x v="8"/>
          </reference>
        </references>
      </pivotArea>
    </chartFormat>
    <chartFormat chart="1" format="10" series="1">
      <pivotArea type="data" outline="0" fieldPosition="0">
        <references count="2">
          <reference field="4294967294" count="1" selected="0">
            <x v="0"/>
          </reference>
          <reference field="1" count="1" selected="0">
            <x v="9"/>
          </reference>
        </references>
      </pivotArea>
    </chartFormat>
    <chartFormat chart="1" format="11" series="1">
      <pivotArea type="data" outline="0" fieldPosition="0">
        <references count="2">
          <reference field="4294967294" count="1" selected="0">
            <x v="0"/>
          </reference>
          <reference field="1" count="1" selected="0">
            <x v="10"/>
          </reference>
        </references>
      </pivotArea>
    </chartFormat>
    <chartFormat chart="1" format="12" series="1">
      <pivotArea type="data" outline="0" fieldPosition="0">
        <references count="2">
          <reference field="4294967294" count="1" selected="0">
            <x v="0"/>
          </reference>
          <reference field="1" count="1" selected="0">
            <x v="11"/>
          </reference>
        </references>
      </pivotArea>
    </chartFormat>
    <chartFormat chart="1" format="13" series="1">
      <pivotArea type="data" outline="0" fieldPosition="0">
        <references count="2">
          <reference field="4294967294" count="1" selected="0">
            <x v="0"/>
          </reference>
          <reference field="1" count="1" selected="0">
            <x v="12"/>
          </reference>
        </references>
      </pivotArea>
    </chartFormat>
    <chartFormat chart="1" format="14" series="1">
      <pivotArea type="data" outline="0" fieldPosition="0">
        <references count="2">
          <reference field="4294967294" count="1" selected="0">
            <x v="0"/>
          </reference>
          <reference field="1" count="1" selected="0">
            <x v="13"/>
          </reference>
        </references>
      </pivotArea>
    </chartFormat>
    <chartFormat chart="1" format="15" series="1">
      <pivotArea type="data" outline="0" fieldPosition="0">
        <references count="2">
          <reference field="4294967294" count="1" selected="0">
            <x v="0"/>
          </reference>
          <reference field="1" count="1" selected="0">
            <x v="14"/>
          </reference>
        </references>
      </pivotArea>
    </chartFormat>
    <chartFormat chart="1" format="16">
      <pivotArea type="data" outline="0" fieldPosition="0">
        <references count="2">
          <reference field="4294967294" count="1" selected="0">
            <x v="0"/>
          </reference>
          <reference field="1" count="1" selected="0">
            <x v="12"/>
          </reference>
        </references>
      </pivotArea>
    </chartFormat>
    <chartFormat chart="1"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upplier-wise Invent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
  <location ref="A3:B19" firstHeaderRow="1" firstDataRow="1" firstDataCol="1"/>
  <pivotFields count="10">
    <pivotField showAll="0"/>
    <pivotField showAll="0"/>
    <pivotField showAll="0"/>
    <pivotField showAll="0"/>
    <pivotField showAll="0"/>
    <pivotField dataField="1" showAll="0"/>
    <pivotField showAll="0"/>
    <pivotField numFmtId="14" showAll="0"/>
    <pivotField axis="axisRow" showAll="0">
      <items count="16">
        <item x="0"/>
        <item x="12"/>
        <item x="10"/>
        <item x="4"/>
        <item x="11"/>
        <item x="2"/>
        <item x="8"/>
        <item x="6"/>
        <item x="7"/>
        <item x="14"/>
        <item x="1"/>
        <item x="9"/>
        <item x="13"/>
        <item x="5"/>
        <item x="3"/>
        <item t="default"/>
      </items>
    </pivotField>
    <pivotField showAll="0"/>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Sum of Closing Stock" fld="5" baseField="0" baseItem="0"/>
  </dataFields>
  <chartFormats count="3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12"/>
          </reference>
        </references>
      </pivotArea>
    </chartFormat>
    <chartFormat chart="0" format="5">
      <pivotArea type="data" outline="0" fieldPosition="0">
        <references count="2">
          <reference field="4294967294" count="1" selected="0">
            <x v="0"/>
          </reference>
          <reference field="8" count="1" selected="0">
            <x v="13"/>
          </reference>
        </references>
      </pivotArea>
    </chartFormat>
    <chartFormat chart="0" format="6">
      <pivotArea type="data" outline="0" fieldPosition="0">
        <references count="2">
          <reference field="4294967294" count="1" selected="0">
            <x v="0"/>
          </reference>
          <reference field="8" count="1" selected="0">
            <x v="14"/>
          </reference>
        </references>
      </pivotArea>
    </chartFormat>
    <chartFormat chart="0" format="7">
      <pivotArea type="data" outline="0" fieldPosition="0">
        <references count="2">
          <reference field="4294967294" count="1" selected="0">
            <x v="0"/>
          </reference>
          <reference field="8" count="1" selected="0">
            <x v="0"/>
          </reference>
        </references>
      </pivotArea>
    </chartFormat>
    <chartFormat chart="0" format="8">
      <pivotArea type="data" outline="0" fieldPosition="0">
        <references count="2">
          <reference field="4294967294" count="1" selected="0">
            <x v="0"/>
          </reference>
          <reference field="8" count="1" selected="0">
            <x v="1"/>
          </reference>
        </references>
      </pivotArea>
    </chartFormat>
    <chartFormat chart="0" format="9">
      <pivotArea type="data" outline="0" fieldPosition="0">
        <references count="2">
          <reference field="4294967294" count="1" selected="0">
            <x v="0"/>
          </reference>
          <reference field="8" count="1" selected="0">
            <x v="8"/>
          </reference>
        </references>
      </pivotArea>
    </chartFormat>
    <chartFormat chart="0" format="10">
      <pivotArea type="data" outline="0" fieldPosition="0">
        <references count="2">
          <reference field="4294967294" count="1" selected="0">
            <x v="0"/>
          </reference>
          <reference field="8" count="1" selected="0">
            <x v="11"/>
          </reference>
        </references>
      </pivotArea>
    </chartFormat>
    <chartFormat chart="0" format="11">
      <pivotArea type="data" outline="0" fieldPosition="0">
        <references count="2">
          <reference field="4294967294" count="1" selected="0">
            <x v="0"/>
          </reference>
          <reference field="8" count="1" selected="0">
            <x v="7"/>
          </reference>
        </references>
      </pivotArea>
    </chartFormat>
    <chartFormat chart="0" format="12">
      <pivotArea type="data" outline="0" fieldPosition="0">
        <references count="2">
          <reference field="4294967294" count="1" selected="0">
            <x v="0"/>
          </reference>
          <reference field="8" count="1" selected="0">
            <x v="6"/>
          </reference>
        </references>
      </pivotArea>
    </chartFormat>
    <chartFormat chart="0" format="13">
      <pivotArea type="data" outline="0" fieldPosition="0">
        <references count="2">
          <reference field="4294967294" count="1" selected="0">
            <x v="0"/>
          </reference>
          <reference field="8" count="1" selected="0">
            <x v="5"/>
          </reference>
        </references>
      </pivotArea>
    </chartFormat>
    <chartFormat chart="0" format="14">
      <pivotArea type="data" outline="0" fieldPosition="0">
        <references count="2">
          <reference field="4294967294" count="1" selected="0">
            <x v="0"/>
          </reference>
          <reference field="8" count="1" selected="0">
            <x v="4"/>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6" format="4">
      <pivotArea type="data" outline="0" fieldPosition="0">
        <references count="2">
          <reference field="4294967294" count="1" selected="0">
            <x v="0"/>
          </reference>
          <reference field="8" count="1" selected="0">
            <x v="3"/>
          </reference>
        </references>
      </pivotArea>
    </chartFormat>
    <chartFormat chart="6" format="5">
      <pivotArea type="data" outline="0" fieldPosition="0">
        <references count="2">
          <reference field="4294967294" count="1" selected="0">
            <x v="0"/>
          </reference>
          <reference field="8" count="1" selected="0">
            <x v="0"/>
          </reference>
        </references>
      </pivotArea>
    </chartFormat>
    <chartFormat chart="6" format="6">
      <pivotArea type="data" outline="0" fieldPosition="0">
        <references count="2">
          <reference field="4294967294" count="1" selected="0">
            <x v="0"/>
          </reference>
          <reference field="8" count="1" selected="0">
            <x v="1"/>
          </reference>
        </references>
      </pivotArea>
    </chartFormat>
    <chartFormat chart="6" format="7">
      <pivotArea type="data" outline="0" fieldPosition="0">
        <references count="2">
          <reference field="4294967294" count="1" selected="0">
            <x v="0"/>
          </reference>
          <reference field="8" count="1" selected="0">
            <x v="4"/>
          </reference>
        </references>
      </pivotArea>
    </chartFormat>
    <chartFormat chart="6" format="8">
      <pivotArea type="data" outline="0" fieldPosition="0">
        <references count="2">
          <reference field="4294967294" count="1" selected="0">
            <x v="0"/>
          </reference>
          <reference field="8" count="1" selected="0">
            <x v="5"/>
          </reference>
        </references>
      </pivotArea>
    </chartFormat>
    <chartFormat chart="6" format="9">
      <pivotArea type="data" outline="0" fieldPosition="0">
        <references count="2">
          <reference field="4294967294" count="1" selected="0">
            <x v="0"/>
          </reference>
          <reference field="8" count="1" selected="0">
            <x v="6"/>
          </reference>
        </references>
      </pivotArea>
    </chartFormat>
    <chartFormat chart="6" format="10">
      <pivotArea type="data" outline="0" fieldPosition="0">
        <references count="2">
          <reference field="4294967294" count="1" selected="0">
            <x v="0"/>
          </reference>
          <reference field="8" count="1" selected="0">
            <x v="7"/>
          </reference>
        </references>
      </pivotArea>
    </chartFormat>
    <chartFormat chart="6" format="11">
      <pivotArea type="data" outline="0" fieldPosition="0">
        <references count="2">
          <reference field="4294967294" count="1" selected="0">
            <x v="0"/>
          </reference>
          <reference field="8" count="1" selected="0">
            <x v="8"/>
          </reference>
        </references>
      </pivotArea>
    </chartFormat>
    <chartFormat chart="6" format="12">
      <pivotArea type="data" outline="0" fieldPosition="0">
        <references count="2">
          <reference field="4294967294" count="1" selected="0">
            <x v="0"/>
          </reference>
          <reference field="8" count="1" selected="0">
            <x v="9"/>
          </reference>
        </references>
      </pivotArea>
    </chartFormat>
    <chartFormat chart="6" format="13">
      <pivotArea type="data" outline="0" fieldPosition="0">
        <references count="2">
          <reference field="4294967294" count="1" selected="0">
            <x v="0"/>
          </reference>
          <reference field="8" count="1" selected="0">
            <x v="10"/>
          </reference>
        </references>
      </pivotArea>
    </chartFormat>
    <chartFormat chart="6" format="14">
      <pivotArea type="data" outline="0" fieldPosition="0">
        <references count="2">
          <reference field="4294967294" count="1" selected="0">
            <x v="0"/>
          </reference>
          <reference field="8" count="1" selected="0">
            <x v="11"/>
          </reference>
        </references>
      </pivotArea>
    </chartFormat>
    <chartFormat chart="6" format="15">
      <pivotArea type="data" outline="0" fieldPosition="0">
        <references count="2">
          <reference field="4294967294" count="1" selected="0">
            <x v="0"/>
          </reference>
          <reference field="8" count="1" selected="0">
            <x v="12"/>
          </reference>
        </references>
      </pivotArea>
    </chartFormat>
    <chartFormat chart="6" format="16">
      <pivotArea type="data" outline="0" fieldPosition="0">
        <references count="2">
          <reference field="4294967294" count="1" selected="0">
            <x v="0"/>
          </reference>
          <reference field="8" count="1" selected="0">
            <x v="13"/>
          </reference>
        </references>
      </pivotArea>
    </chartFormat>
    <chartFormat chart="6" format="17">
      <pivotArea type="data" outline="0" fieldPosition="0">
        <references count="2">
          <reference field="4294967294" count="1" selected="0">
            <x v="0"/>
          </reference>
          <reference field="8"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Stock In / Ou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4" firstHeaderRow="0" firstDataRow="1" firstDataCol="0"/>
  <pivotFields count="10">
    <pivotField showAll="0"/>
    <pivotField showAll="0"/>
    <pivotField showAll="0"/>
    <pivotField dataField="1" showAll="0">
      <items count="9">
        <item h="1" x="4"/>
        <item h="1" x="2"/>
        <item h="1" x="0"/>
        <item x="6"/>
        <item h="1" x="3"/>
        <item h="1" x="1"/>
        <item h="1" x="5"/>
        <item h="1" x="7"/>
        <item t="default"/>
      </items>
    </pivotField>
    <pivotField dataField="1" showAll="0">
      <items count="11">
        <item x="7"/>
        <item x="4"/>
        <item x="0"/>
        <item x="5"/>
        <item x="2"/>
        <item x="3"/>
        <item x="1"/>
        <item x="9"/>
        <item x="6"/>
        <item x="8"/>
        <item t="default"/>
      </items>
    </pivotField>
    <pivotField showAll="0"/>
    <pivotField showAll="0"/>
    <pivotField numFmtId="14" showAll="0"/>
    <pivotField showAll="0"/>
    <pivotField showAll="0"/>
  </pivotFields>
  <rowItems count="1">
    <i/>
  </rowItems>
  <colFields count="1">
    <field x="-2"/>
  </colFields>
  <colItems count="2">
    <i>
      <x/>
    </i>
    <i i="1">
      <x v="1"/>
    </i>
  </colItems>
  <dataFields count="2">
    <dataField name="Sum of Stock In" fld="3" baseField="0" baseItem="0"/>
    <dataField name="Sum of Stock Out" fld="4" baseField="0" baseItem="0"/>
  </dataFields>
  <chartFormats count="2">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Name" sourceName="Product Name">
  <pivotTables>
    <pivotTable tabId="6" name="Product-wise Stock"/>
  </pivotTables>
  <data>
    <tabular pivotCacheId="1">
      <items count="15">
        <i x="2" s="1"/>
        <i x="3" s="1"/>
        <i x="10" s="1"/>
        <i x="13" s="1"/>
        <i x="11" s="1"/>
        <i x="14" s="1"/>
        <i x="6" s="1"/>
        <i x="12" s="1"/>
        <i x="0" s="1"/>
        <i x="4" s="1"/>
        <i x="8" s="1"/>
        <i x="1" s="1"/>
        <i x="9"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Name" cache="Slicer_Product_Name" caption="Product Name" startItem="8" rowHeight="234950"/>
</slicers>
</file>

<file path=xl/tables/table1.xml><?xml version="1.0" encoding="utf-8"?>
<table xmlns="http://schemas.openxmlformats.org/spreadsheetml/2006/main" id="2" name="Table13" displayName="Table13" ref="A1:J16" totalsRowShown="0" headerRowDxfId="11" dataDxfId="10">
  <autoFilter ref="A1:J16"/>
  <tableColumns count="10">
    <tableColumn id="1" name="Product ID" dataDxfId="9"/>
    <tableColumn id="2" name="Product Name" dataDxfId="8"/>
    <tableColumn id="3" name="Opening Stock" dataDxfId="7"/>
    <tableColumn id="4" name="Stock In" dataDxfId="6"/>
    <tableColumn id="5" name="Stock Out" dataDxfId="5"/>
    <tableColumn id="6" name="Closing Stock" dataDxfId="4"/>
    <tableColumn id="7" name="Reorder Level" dataDxfId="3"/>
    <tableColumn id="8" name="Sales Date" dataDxfId="2"/>
    <tableColumn id="9" name="Supplier Name" dataDxfId="1"/>
    <tableColumn id="10" name=" Low Stock Alert" dataDxfId="0">
      <calculatedColumnFormula>IF(F2&lt;G2,"LOW STOCK","AVAILABLE")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E28" sqref="E28"/>
    </sheetView>
  </sheetViews>
  <sheetFormatPr defaultRowHeight="14.4" x14ac:dyDescent="0.3"/>
  <cols>
    <col min="1" max="1" width="15.88671875" bestFit="1" customWidth="1"/>
    <col min="2" max="2" width="18.77734375" bestFit="1" customWidth="1"/>
    <col min="3" max="3" width="10.88671875" bestFit="1" customWidth="1"/>
    <col min="4" max="4" width="13.5546875" bestFit="1" customWidth="1"/>
    <col min="5" max="5" width="11.44140625" bestFit="1" customWidth="1"/>
    <col min="6" max="6" width="16.33203125" bestFit="1" customWidth="1"/>
    <col min="7" max="7" width="14.33203125" bestFit="1" customWidth="1"/>
    <col min="8" max="8" width="10.77734375" bestFit="1" customWidth="1"/>
    <col min="9" max="9" width="13.109375" bestFit="1" customWidth="1"/>
    <col min="10" max="10" width="12.44140625" bestFit="1" customWidth="1"/>
    <col min="11" max="11" width="14.6640625" bestFit="1" customWidth="1"/>
    <col min="12" max="12" width="11.6640625" bestFit="1" customWidth="1"/>
    <col min="13" max="13" width="14.6640625" bestFit="1" customWidth="1"/>
    <col min="14" max="14" width="14.44140625" bestFit="1" customWidth="1"/>
    <col min="15" max="15" width="10.5546875" bestFit="1" customWidth="1"/>
    <col min="16" max="16" width="15.77734375" bestFit="1" customWidth="1"/>
    <col min="17" max="17" width="10.77734375" bestFit="1" customWidth="1"/>
  </cols>
  <sheetData>
    <row r="3" spans="1:2" x14ac:dyDescent="0.3">
      <c r="A3" s="9" t="s">
        <v>55</v>
      </c>
      <c r="B3" t="s">
        <v>57</v>
      </c>
    </row>
    <row r="4" spans="1:2" x14ac:dyDescent="0.3">
      <c r="A4" s="10" t="s">
        <v>15</v>
      </c>
      <c r="B4" s="11">
        <v>100</v>
      </c>
    </row>
    <row r="5" spans="1:2" x14ac:dyDescent="0.3">
      <c r="A5" s="10" t="s">
        <v>18</v>
      </c>
      <c r="B5" s="11">
        <v>150</v>
      </c>
    </row>
    <row r="6" spans="1:2" x14ac:dyDescent="0.3">
      <c r="A6" s="10" t="s">
        <v>39</v>
      </c>
      <c r="B6" s="11">
        <v>70</v>
      </c>
    </row>
    <row r="7" spans="1:2" x14ac:dyDescent="0.3">
      <c r="A7" s="10" t="s">
        <v>48</v>
      </c>
      <c r="B7" s="11">
        <v>110</v>
      </c>
    </row>
    <row r="8" spans="1:2" x14ac:dyDescent="0.3">
      <c r="A8" s="10" t="s">
        <v>42</v>
      </c>
      <c r="B8" s="11">
        <v>130</v>
      </c>
    </row>
    <row r="9" spans="1:2" x14ac:dyDescent="0.3">
      <c r="A9" s="10" t="s">
        <v>51</v>
      </c>
      <c r="B9" s="11">
        <v>140</v>
      </c>
    </row>
    <row r="10" spans="1:2" x14ac:dyDescent="0.3">
      <c r="A10" s="10" t="s">
        <v>27</v>
      </c>
      <c r="B10" s="11">
        <v>170</v>
      </c>
    </row>
    <row r="11" spans="1:2" x14ac:dyDescent="0.3">
      <c r="A11" s="10" t="s">
        <v>45</v>
      </c>
      <c r="B11" s="11">
        <v>220</v>
      </c>
    </row>
    <row r="12" spans="1:2" x14ac:dyDescent="0.3">
      <c r="A12" s="10" t="s">
        <v>9</v>
      </c>
      <c r="B12" s="11">
        <v>100</v>
      </c>
    </row>
    <row r="13" spans="1:2" x14ac:dyDescent="0.3">
      <c r="A13" s="10" t="s">
        <v>21</v>
      </c>
      <c r="B13" s="11">
        <v>70</v>
      </c>
    </row>
    <row r="14" spans="1:2" x14ac:dyDescent="0.3">
      <c r="A14" s="10" t="s">
        <v>33</v>
      </c>
      <c r="B14" s="11">
        <v>130</v>
      </c>
    </row>
    <row r="15" spans="1:2" x14ac:dyDescent="0.3">
      <c r="A15" s="10" t="s">
        <v>12</v>
      </c>
      <c r="B15" s="11">
        <v>160</v>
      </c>
    </row>
    <row r="16" spans="1:2" x14ac:dyDescent="0.3">
      <c r="A16" s="10" t="s">
        <v>36</v>
      </c>
      <c r="B16" s="11">
        <v>80</v>
      </c>
    </row>
    <row r="17" spans="1:2" x14ac:dyDescent="0.3">
      <c r="A17" s="10" t="s">
        <v>24</v>
      </c>
      <c r="B17" s="11">
        <v>110</v>
      </c>
    </row>
    <row r="18" spans="1:2" x14ac:dyDescent="0.3">
      <c r="A18" s="10" t="s">
        <v>30</v>
      </c>
      <c r="B18" s="11">
        <v>110</v>
      </c>
    </row>
    <row r="19" spans="1:2" x14ac:dyDescent="0.3">
      <c r="A19" s="10" t="s">
        <v>56</v>
      </c>
      <c r="B19" s="11">
        <v>1850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F26" sqref="F26"/>
    </sheetView>
  </sheetViews>
  <sheetFormatPr defaultRowHeight="14.4" x14ac:dyDescent="0.3"/>
  <cols>
    <col min="1" max="1" width="17" bestFit="1" customWidth="1"/>
    <col min="2" max="2" width="18.77734375" bestFit="1" customWidth="1"/>
  </cols>
  <sheetData>
    <row r="3" spans="1:2" x14ac:dyDescent="0.3">
      <c r="A3" s="9" t="s">
        <v>60</v>
      </c>
      <c r="B3" t="s">
        <v>57</v>
      </c>
    </row>
    <row r="4" spans="1:2" x14ac:dyDescent="0.3">
      <c r="A4" s="10" t="s">
        <v>10</v>
      </c>
      <c r="B4" s="11">
        <v>100</v>
      </c>
    </row>
    <row r="5" spans="1:2" x14ac:dyDescent="0.3">
      <c r="A5" s="10" t="s">
        <v>46</v>
      </c>
      <c r="B5" s="11">
        <v>220</v>
      </c>
    </row>
    <row r="6" spans="1:2" x14ac:dyDescent="0.3">
      <c r="A6" s="10" t="s">
        <v>40</v>
      </c>
      <c r="B6" s="11">
        <v>70</v>
      </c>
    </row>
    <row r="7" spans="1:2" x14ac:dyDescent="0.3">
      <c r="A7" s="10" t="s">
        <v>22</v>
      </c>
      <c r="B7" s="11">
        <v>70</v>
      </c>
    </row>
    <row r="8" spans="1:2" x14ac:dyDescent="0.3">
      <c r="A8" s="10" t="s">
        <v>43</v>
      </c>
      <c r="B8" s="11">
        <v>130</v>
      </c>
    </row>
    <row r="9" spans="1:2" x14ac:dyDescent="0.3">
      <c r="A9" s="10" t="s">
        <v>16</v>
      </c>
      <c r="B9" s="11">
        <v>100</v>
      </c>
    </row>
    <row r="10" spans="1:2" x14ac:dyDescent="0.3">
      <c r="A10" s="10" t="s">
        <v>34</v>
      </c>
      <c r="B10" s="11">
        <v>130</v>
      </c>
    </row>
    <row r="11" spans="1:2" x14ac:dyDescent="0.3">
      <c r="A11" s="10" t="s">
        <v>28</v>
      </c>
      <c r="B11" s="11">
        <v>170</v>
      </c>
    </row>
    <row r="12" spans="1:2" x14ac:dyDescent="0.3">
      <c r="A12" s="10" t="s">
        <v>31</v>
      </c>
      <c r="B12" s="11">
        <v>110</v>
      </c>
    </row>
    <row r="13" spans="1:2" x14ac:dyDescent="0.3">
      <c r="A13" s="10" t="s">
        <v>52</v>
      </c>
      <c r="B13" s="11">
        <v>140</v>
      </c>
    </row>
    <row r="14" spans="1:2" x14ac:dyDescent="0.3">
      <c r="A14" s="10" t="s">
        <v>13</v>
      </c>
      <c r="B14" s="11">
        <v>160</v>
      </c>
    </row>
    <row r="15" spans="1:2" x14ac:dyDescent="0.3">
      <c r="A15" s="10" t="s">
        <v>37</v>
      </c>
      <c r="B15" s="11">
        <v>80</v>
      </c>
    </row>
    <row r="16" spans="1:2" x14ac:dyDescent="0.3">
      <c r="A16" s="10" t="s">
        <v>49</v>
      </c>
      <c r="B16" s="11">
        <v>110</v>
      </c>
    </row>
    <row r="17" spans="1:2" x14ac:dyDescent="0.3">
      <c r="A17" s="10" t="s">
        <v>25</v>
      </c>
      <c r="B17" s="11">
        <v>110</v>
      </c>
    </row>
    <row r="18" spans="1:2" x14ac:dyDescent="0.3">
      <c r="A18" s="10" t="s">
        <v>19</v>
      </c>
      <c r="B18" s="11">
        <v>150</v>
      </c>
    </row>
    <row r="19" spans="1:2" x14ac:dyDescent="0.3">
      <c r="A19" s="10" t="s">
        <v>56</v>
      </c>
      <c r="B19" s="11">
        <v>1850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F27" sqref="F27"/>
    </sheetView>
  </sheetViews>
  <sheetFormatPr defaultRowHeight="14.4" x14ac:dyDescent="0.3"/>
  <cols>
    <col min="1" max="1" width="14.33203125" customWidth="1"/>
    <col min="2" max="2" width="15.77734375" bestFit="1" customWidth="1"/>
  </cols>
  <sheetData>
    <row r="3" spans="1:2" x14ac:dyDescent="0.3">
      <c r="A3" t="s">
        <v>58</v>
      </c>
      <c r="B3" t="s">
        <v>59</v>
      </c>
    </row>
    <row r="4" spans="1:2" x14ac:dyDescent="0.3">
      <c r="A4" s="11">
        <v>890</v>
      </c>
      <c r="B4" s="11">
        <v>1470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election activeCell="N10" sqref="N9:N10"/>
    </sheetView>
  </sheetViews>
  <sheetFormatPr defaultRowHeight="14.4" x14ac:dyDescent="0.3"/>
  <cols>
    <col min="1" max="1" width="12.109375" bestFit="1" customWidth="1"/>
    <col min="2" max="2" width="9.33203125" customWidth="1"/>
    <col min="3" max="3" width="12.5546875" bestFit="1" customWidth="1"/>
    <col min="4" max="4" width="12.21875" bestFit="1" customWidth="1"/>
    <col min="5" max="5" width="10.109375" bestFit="1" customWidth="1"/>
    <col min="6" max="6" width="11.44140625" bestFit="1" customWidth="1"/>
    <col min="7" max="7" width="12.109375" bestFit="1" customWidth="1"/>
    <col min="8" max="8" width="10.5546875" bestFit="1" customWidth="1"/>
    <col min="9" max="9" width="12.33203125" bestFit="1" customWidth="1"/>
    <col min="10" max="10" width="14.44140625" bestFit="1" customWidth="1"/>
  </cols>
  <sheetData>
    <row r="1" spans="1:10" ht="28.8" x14ac:dyDescent="0.3">
      <c r="A1" s="1" t="s">
        <v>0</v>
      </c>
      <c r="B1" s="7" t="s">
        <v>1</v>
      </c>
      <c r="C1" s="4" t="s">
        <v>2</v>
      </c>
      <c r="D1" s="4" t="s">
        <v>3</v>
      </c>
      <c r="E1" s="4" t="s">
        <v>4</v>
      </c>
      <c r="F1" s="4" t="s">
        <v>5</v>
      </c>
      <c r="G1" s="4" t="s">
        <v>6</v>
      </c>
      <c r="H1" s="1" t="s">
        <v>7</v>
      </c>
      <c r="I1" s="4" t="s">
        <v>8</v>
      </c>
      <c r="J1" s="8" t="s">
        <v>53</v>
      </c>
    </row>
    <row r="2" spans="1:10" ht="28.8" x14ac:dyDescent="0.3">
      <c r="A2" s="2" t="s">
        <v>54</v>
      </c>
      <c r="B2" s="5" t="s">
        <v>9</v>
      </c>
      <c r="C2" s="6">
        <v>120</v>
      </c>
      <c r="D2" s="6">
        <v>50</v>
      </c>
      <c r="E2" s="6">
        <v>70</v>
      </c>
      <c r="F2" s="6">
        <v>100</v>
      </c>
      <c r="G2" s="6">
        <v>40</v>
      </c>
      <c r="H2" s="3">
        <v>46143</v>
      </c>
      <c r="I2" s="6" t="s">
        <v>10</v>
      </c>
      <c r="J2" s="6" t="str">
        <f t="shared" ref="J2:J16" si="0">IF(F2&lt;G2,"LOW STOCK","AVAILABLE")</f>
        <v>AVAILABLE</v>
      </c>
    </row>
    <row r="3" spans="1:10" ht="28.8" x14ac:dyDescent="0.3">
      <c r="A3" s="2" t="s">
        <v>11</v>
      </c>
      <c r="B3" s="5" t="s">
        <v>12</v>
      </c>
      <c r="C3" s="6">
        <v>200</v>
      </c>
      <c r="D3" s="6">
        <v>80</v>
      </c>
      <c r="E3" s="6">
        <v>120</v>
      </c>
      <c r="F3" s="6">
        <v>160</v>
      </c>
      <c r="G3" s="6">
        <v>60</v>
      </c>
      <c r="H3" s="3">
        <v>46144</v>
      </c>
      <c r="I3" s="6" t="s">
        <v>13</v>
      </c>
      <c r="J3" s="6" t="str">
        <f t="shared" si="0"/>
        <v>AVAILABLE</v>
      </c>
    </row>
    <row r="4" spans="1:10" ht="28.8" x14ac:dyDescent="0.3">
      <c r="A4" s="2" t="s">
        <v>14</v>
      </c>
      <c r="B4" s="5" t="s">
        <v>15</v>
      </c>
      <c r="C4" s="6">
        <v>150</v>
      </c>
      <c r="D4" s="6">
        <v>40</v>
      </c>
      <c r="E4" s="6">
        <v>90</v>
      </c>
      <c r="F4" s="6">
        <v>100</v>
      </c>
      <c r="G4" s="6">
        <v>30</v>
      </c>
      <c r="H4" s="3">
        <v>46145</v>
      </c>
      <c r="I4" s="6" t="s">
        <v>16</v>
      </c>
      <c r="J4" s="6" t="str">
        <f t="shared" si="0"/>
        <v>AVAILABLE</v>
      </c>
    </row>
    <row r="5" spans="1:10" ht="28.8" x14ac:dyDescent="0.3">
      <c r="A5" s="2" t="s">
        <v>17</v>
      </c>
      <c r="B5" s="5" t="s">
        <v>18</v>
      </c>
      <c r="C5" s="6">
        <v>180</v>
      </c>
      <c r="D5" s="6">
        <v>70</v>
      </c>
      <c r="E5" s="6">
        <v>100</v>
      </c>
      <c r="F5" s="6">
        <v>150</v>
      </c>
      <c r="G5" s="6">
        <v>50</v>
      </c>
      <c r="H5" s="3">
        <v>46146</v>
      </c>
      <c r="I5" s="6" t="s">
        <v>19</v>
      </c>
      <c r="J5" s="6" t="str">
        <f t="shared" si="0"/>
        <v>AVAILABLE</v>
      </c>
    </row>
    <row r="6" spans="1:10" ht="28.8" x14ac:dyDescent="0.3">
      <c r="A6" s="2" t="s">
        <v>20</v>
      </c>
      <c r="B6" s="5" t="s">
        <v>21</v>
      </c>
      <c r="C6" s="6">
        <v>100</v>
      </c>
      <c r="D6" s="6">
        <v>30</v>
      </c>
      <c r="E6" s="6">
        <v>60</v>
      </c>
      <c r="F6" s="6">
        <v>70</v>
      </c>
      <c r="G6" s="6">
        <v>25</v>
      </c>
      <c r="H6" s="3">
        <v>46147</v>
      </c>
      <c r="I6" s="6" t="s">
        <v>22</v>
      </c>
      <c r="J6" s="6" t="str">
        <f t="shared" si="0"/>
        <v>AVAILABLE</v>
      </c>
    </row>
    <row r="7" spans="1:10" ht="28.8" x14ac:dyDescent="0.3">
      <c r="A7" s="2" t="s">
        <v>23</v>
      </c>
      <c r="B7" s="5" t="s">
        <v>24</v>
      </c>
      <c r="C7" s="6">
        <v>140</v>
      </c>
      <c r="D7" s="6">
        <v>50</v>
      </c>
      <c r="E7" s="6">
        <v>80</v>
      </c>
      <c r="F7" s="6">
        <v>110</v>
      </c>
      <c r="G7" s="6">
        <v>35</v>
      </c>
      <c r="H7" s="3">
        <v>46148</v>
      </c>
      <c r="I7" s="6" t="s">
        <v>25</v>
      </c>
      <c r="J7" s="6" t="str">
        <f t="shared" si="0"/>
        <v>AVAILABLE</v>
      </c>
    </row>
    <row r="8" spans="1:10" ht="28.8" x14ac:dyDescent="0.3">
      <c r="A8" s="2" t="s">
        <v>26</v>
      </c>
      <c r="B8" s="5" t="s">
        <v>27</v>
      </c>
      <c r="C8" s="6">
        <v>250</v>
      </c>
      <c r="D8" s="6">
        <v>100</v>
      </c>
      <c r="E8" s="6">
        <v>180</v>
      </c>
      <c r="F8" s="6">
        <v>170</v>
      </c>
      <c r="G8" s="6">
        <v>80</v>
      </c>
      <c r="H8" s="3">
        <v>46149</v>
      </c>
      <c r="I8" s="6" t="s">
        <v>28</v>
      </c>
      <c r="J8" s="6" t="str">
        <f t="shared" si="0"/>
        <v>AVAILABLE</v>
      </c>
    </row>
    <row r="9" spans="1:10" ht="28.8" x14ac:dyDescent="0.3">
      <c r="A9" s="2" t="s">
        <v>29</v>
      </c>
      <c r="B9" s="5" t="s">
        <v>30</v>
      </c>
      <c r="C9" s="6">
        <v>130</v>
      </c>
      <c r="D9" s="6">
        <v>40</v>
      </c>
      <c r="E9" s="6">
        <v>60</v>
      </c>
      <c r="F9" s="6">
        <v>110</v>
      </c>
      <c r="G9" s="6">
        <v>45</v>
      </c>
      <c r="H9" s="3">
        <v>46150</v>
      </c>
      <c r="I9" s="6" t="s">
        <v>31</v>
      </c>
      <c r="J9" s="6" t="str">
        <f t="shared" si="0"/>
        <v>AVAILABLE</v>
      </c>
    </row>
    <row r="10" spans="1:10" ht="28.8" x14ac:dyDescent="0.3">
      <c r="A10" s="2" t="s">
        <v>32</v>
      </c>
      <c r="B10" s="5" t="s">
        <v>33</v>
      </c>
      <c r="C10" s="6">
        <v>160</v>
      </c>
      <c r="D10" s="6">
        <v>60</v>
      </c>
      <c r="E10" s="6">
        <v>90</v>
      </c>
      <c r="F10" s="6">
        <v>130</v>
      </c>
      <c r="G10" s="6">
        <v>50</v>
      </c>
      <c r="H10" s="3">
        <v>46151</v>
      </c>
      <c r="I10" s="6" t="s">
        <v>34</v>
      </c>
      <c r="J10" s="6" t="str">
        <f t="shared" si="0"/>
        <v>AVAILABLE</v>
      </c>
    </row>
    <row r="11" spans="1:10" ht="43.2" x14ac:dyDescent="0.3">
      <c r="A11" s="2" t="s">
        <v>35</v>
      </c>
      <c r="B11" s="5" t="s">
        <v>36</v>
      </c>
      <c r="C11" s="6">
        <v>90</v>
      </c>
      <c r="D11" s="6">
        <v>40</v>
      </c>
      <c r="E11" s="6">
        <v>50</v>
      </c>
      <c r="F11" s="6">
        <v>80</v>
      </c>
      <c r="G11" s="6">
        <v>20</v>
      </c>
      <c r="H11" s="3">
        <v>46152</v>
      </c>
      <c r="I11" s="6" t="s">
        <v>37</v>
      </c>
      <c r="J11" s="6" t="str">
        <f t="shared" si="0"/>
        <v>AVAILABLE</v>
      </c>
    </row>
    <row r="12" spans="1:10" ht="28.8" x14ac:dyDescent="0.3">
      <c r="A12" s="2" t="s">
        <v>38</v>
      </c>
      <c r="B12" s="5" t="s">
        <v>39</v>
      </c>
      <c r="C12" s="6">
        <v>110</v>
      </c>
      <c r="D12" s="6">
        <v>30</v>
      </c>
      <c r="E12" s="6">
        <v>70</v>
      </c>
      <c r="F12" s="6">
        <v>70</v>
      </c>
      <c r="G12" s="6">
        <v>25</v>
      </c>
      <c r="H12" s="3">
        <v>46153</v>
      </c>
      <c r="I12" s="6" t="s">
        <v>40</v>
      </c>
      <c r="J12" s="6" t="str">
        <f t="shared" si="0"/>
        <v>AVAILABLE</v>
      </c>
    </row>
    <row r="13" spans="1:10" ht="28.8" x14ac:dyDescent="0.3">
      <c r="A13" s="2" t="s">
        <v>41</v>
      </c>
      <c r="B13" s="5" t="s">
        <v>42</v>
      </c>
      <c r="C13" s="6">
        <v>170</v>
      </c>
      <c r="D13" s="6">
        <v>60</v>
      </c>
      <c r="E13" s="6">
        <v>100</v>
      </c>
      <c r="F13" s="6">
        <v>130</v>
      </c>
      <c r="G13" s="6">
        <v>45</v>
      </c>
      <c r="H13" s="3">
        <v>46154</v>
      </c>
      <c r="I13" s="6" t="s">
        <v>43</v>
      </c>
      <c r="J13" s="6" t="str">
        <f t="shared" si="0"/>
        <v>AVAILABLE</v>
      </c>
    </row>
    <row r="14" spans="1:10" ht="28.8" x14ac:dyDescent="0.3">
      <c r="A14" s="2" t="s">
        <v>44</v>
      </c>
      <c r="B14" s="5" t="s">
        <v>45</v>
      </c>
      <c r="C14" s="6">
        <v>300</v>
      </c>
      <c r="D14" s="6">
        <v>120</v>
      </c>
      <c r="E14" s="6">
        <v>200</v>
      </c>
      <c r="F14" s="6">
        <v>220</v>
      </c>
      <c r="G14" s="6">
        <v>100</v>
      </c>
      <c r="H14" s="3">
        <v>46155</v>
      </c>
      <c r="I14" s="6" t="s">
        <v>46</v>
      </c>
      <c r="J14" s="6" t="str">
        <f t="shared" si="0"/>
        <v>AVAILABLE</v>
      </c>
    </row>
    <row r="15" spans="1:10" ht="28.8" x14ac:dyDescent="0.3">
      <c r="A15" s="2" t="s">
        <v>47</v>
      </c>
      <c r="B15" s="5" t="s">
        <v>48</v>
      </c>
      <c r="C15" s="6">
        <v>140</v>
      </c>
      <c r="D15" s="6">
        <v>40</v>
      </c>
      <c r="E15" s="6">
        <v>70</v>
      </c>
      <c r="F15" s="6">
        <v>110</v>
      </c>
      <c r="G15" s="6">
        <v>35</v>
      </c>
      <c r="H15" s="3">
        <v>46156</v>
      </c>
      <c r="I15" s="6" t="s">
        <v>49</v>
      </c>
      <c r="J15" s="6" t="str">
        <f t="shared" si="0"/>
        <v>AVAILABLE</v>
      </c>
    </row>
    <row r="16" spans="1:10" ht="28.8" x14ac:dyDescent="0.3">
      <c r="A16" s="2" t="s">
        <v>50</v>
      </c>
      <c r="B16" s="5" t="s">
        <v>51</v>
      </c>
      <c r="C16" s="6">
        <v>190</v>
      </c>
      <c r="D16" s="6">
        <v>80</v>
      </c>
      <c r="E16" s="6">
        <v>130</v>
      </c>
      <c r="F16" s="6">
        <v>140</v>
      </c>
      <c r="G16" s="6">
        <v>50</v>
      </c>
      <c r="H16" s="3">
        <v>46157</v>
      </c>
      <c r="I16" s="6" t="s">
        <v>52</v>
      </c>
      <c r="J16" s="6" t="str">
        <f t="shared" si="0"/>
        <v>AVAILABLE</v>
      </c>
    </row>
  </sheetData>
  <conditionalFormatting sqref="F2:F16">
    <cfRule type="cellIs" dxfId="12" priority="1" operator="lessThan">
      <formula>140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O6" sqref="O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6" workbookViewId="0">
      <selection activeCell="F33" sqref="F33"/>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G29" sqref="G2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 1</vt:lpstr>
      <vt:lpstr>Pivot table 2</vt:lpstr>
      <vt:lpstr>Pivot table 3</vt:lpstr>
      <vt:lpstr>Raw data</vt:lpstr>
      <vt:lpstr>Bar chart</vt:lpstr>
      <vt:lpstr>Pie chart</vt:lpstr>
      <vt:lpstr>Line chart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2026-05-25T14:36:24Z</dcterms:created>
  <dcterms:modified xsi:type="dcterms:W3CDTF">2026-05-27T16:07:29Z</dcterms:modified>
</cp:coreProperties>
</file>